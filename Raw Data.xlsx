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73e784a37fad8e/Desktop/Shilpa GitHub/Iris Data Analysis/Excel/"/>
    </mc:Choice>
  </mc:AlternateContent>
  <xr:revisionPtr revIDLastSave="128" documentId="8_{FBED993A-CB84-448B-BE39-02DFF1B7CF4A}" xr6:coauthVersionLast="47" xr6:coauthVersionMax="47" xr10:uidLastSave="{75D0986B-3133-428E-9F46-4BB7CBBC063B}"/>
  <bookViews>
    <workbookView xWindow="-108" yWindow="-108" windowWidth="23256" windowHeight="12456" activeTab="3" xr2:uid="{4FAF194A-D07F-4B4D-AC80-57FA734AE41B}"/>
  </bookViews>
  <sheets>
    <sheet name="Iris Dataset" sheetId="1" r:id="rId1"/>
    <sheet name="Analysis" sheetId="2" r:id="rId2"/>
    <sheet name="Dashboard" sheetId="3" r:id="rId3"/>
    <sheet name="Pivot_Species" sheetId="4" r:id="rId4"/>
  </sheets>
  <definedNames>
    <definedName name="_xlnm._FilterDatabase" localSheetId="0" hidden="1">'Iris Dataset'!$F$2:$F$151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2" i="1"/>
</calcChain>
</file>

<file path=xl/sharedStrings.xml><?xml version="1.0" encoding="utf-8"?>
<sst xmlns="http://schemas.openxmlformats.org/spreadsheetml/2006/main" count="173" uniqueCount="23">
  <si>
    <t>Species</t>
  </si>
  <si>
    <t>Iris-setosa</t>
  </si>
  <si>
    <t>Iris-versicolor</t>
  </si>
  <si>
    <t>Iris-virginica</t>
  </si>
  <si>
    <t>Sepal Length (cm)</t>
  </si>
  <si>
    <t>Sepal Width (cm)</t>
  </si>
  <si>
    <t>ID</t>
  </si>
  <si>
    <t>Petal Length (cm)</t>
  </si>
  <si>
    <t>Petal Width (cm)</t>
  </si>
  <si>
    <t>Sepal Area (cm)</t>
  </si>
  <si>
    <t>Petal Area (cm)</t>
  </si>
  <si>
    <t>Metric</t>
  </si>
  <si>
    <t>Formula</t>
  </si>
  <si>
    <t>Total Flowers</t>
  </si>
  <si>
    <t>Total Species</t>
  </si>
  <si>
    <t>Average Sepal Length</t>
  </si>
  <si>
    <t>Average Sepal Width</t>
  </si>
  <si>
    <t>Average Petal Length</t>
  </si>
  <si>
    <t>Average Petal Width</t>
  </si>
  <si>
    <t>Row Labels</t>
  </si>
  <si>
    <t>Grand Total</t>
  </si>
  <si>
    <t>Count of Species</t>
  </si>
  <si>
    <t>Flowers by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</si>
</sst>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Data.xlsx]Pivot_Species!PivotTable1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Flowers by Species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Pivot_Species!$B$3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Pivot_Species!$A$4:$A$7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Pivot_Species!$B$4:$B$7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D-48B2-888A-A058B0BDC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25712"/>
        <c:axId val="311824752"/>
      </c:barChart>
      <c:catAx>
        <c:axId val="31182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24752"/>
        <c:crosses val="autoZero"/>
        <c:auto val="1"/>
        <c:lblAlgn val="ctr"/>
        <c:lblOffset val="100"/>
        <c:noMultiLvlLbl val="0"/>
      </c:catAx>
      <c:valAx>
        <c:axId val="3118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2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Data.xlsx]Pivot_Species!PivotTable1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Flowers by Species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Pivot_Species!$B$3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Pivot_Species!$A$4:$A$7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Pivot_Species!$B$4:$B$7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A-4384-9823-AFE272EEE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25712"/>
        <c:axId val="311824752"/>
      </c:barChart>
      <c:catAx>
        <c:axId val="31182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24752"/>
        <c:crosses val="autoZero"/>
        <c:auto val="1"/>
        <c:lblAlgn val="ctr"/>
        <c:lblOffset val="100"/>
        <c:noMultiLvlLbl val="0"/>
      </c:catAx>
      <c:valAx>
        <c:axId val="3118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2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3106F1-FE6E-494C-A87E-114869225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1257300</xdr:colOff>
      <xdr:row>6</xdr:row>
      <xdr:rowOff>38100</xdr:rowOff>
    </xdr:from>
    <xdr:to>
      <xdr:col>10</xdr:col>
      <xdr:colOff>190500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38455-930B-C629-D8EA-B259E2872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umol" refreshedDate="46222.091755208334" createdVersion="8" refreshedVersion="8" minRefreshableVersion="3" recordCount="150" xr:uid="{99FE73EE-39CA-4AFA-BABC-473764B635DA}">
  <cacheSource type="worksheet">
    <worksheetSource ref="A1:H151" sheet="Iris Dataset"/>
  </cacheSource>
  <cacheFields count="8">
    <cacheField name="ID" numFmtId="0">
      <sharedItems containsSemiMixedTypes="0" containsString="0" containsNumber="1" containsInteger="1" minValue="1" maxValue="150"/>
    </cacheField>
    <cacheField name="Sepal Length (cm)" numFmtId="0">
      <sharedItems containsSemiMixedTypes="0" containsString="0" containsNumber="1" minValue="4.3" maxValue="7.9"/>
    </cacheField>
    <cacheField name="Sepal Width (cm)" numFmtId="0">
      <sharedItems containsSemiMixedTypes="0" containsString="0" containsNumber="1" minValue="2" maxValue="4.4000000000000004"/>
    </cacheField>
    <cacheField name="Petal Length (cm)" numFmtId="0">
      <sharedItems containsSemiMixedTypes="0" containsString="0" containsNumber="1" minValue="1" maxValue="6.9"/>
    </cacheField>
    <cacheField name="Petal Width (cm)" numFmtId="0">
      <sharedItems containsSemiMixedTypes="0" containsString="0" containsNumber="1" minValue="0.1" maxValue="2.5"/>
    </cacheField>
    <cacheField name="Species" numFmtId="0">
      <sharedItems count="3">
        <s v="Iris-setosa"/>
        <s v="Iris-versicolor"/>
        <s v="Iris-virginica"/>
      </sharedItems>
    </cacheField>
    <cacheField name="Sepal Area (cm)" numFmtId="0">
      <sharedItems containsSemiMixedTypes="0" containsString="0" containsNumber="1" minValue="10" maxValue="30.02"/>
    </cacheField>
    <cacheField name="Petal Area (cm)" numFmtId="0">
      <sharedItems containsSemiMixedTypes="0" containsString="0" containsNumber="1" minValue="0.11000000000000001" maxValue="15.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n v="5.0999999999999996"/>
    <n v="3.5"/>
    <n v="1.4"/>
    <n v="0.2"/>
    <x v="0"/>
    <n v="17.849999999999998"/>
    <n v="0.27999999999999997"/>
  </r>
  <r>
    <n v="2"/>
    <n v="4.9000000000000004"/>
    <n v="3"/>
    <n v="1.4"/>
    <n v="0.2"/>
    <x v="0"/>
    <n v="14.700000000000001"/>
    <n v="0.27999999999999997"/>
  </r>
  <r>
    <n v="3"/>
    <n v="4.7"/>
    <n v="3.2"/>
    <n v="1.3"/>
    <n v="0.2"/>
    <x v="0"/>
    <n v="15.040000000000001"/>
    <n v="0.26"/>
  </r>
  <r>
    <n v="4"/>
    <n v="4.5999999999999996"/>
    <n v="3.1"/>
    <n v="1.5"/>
    <n v="0.2"/>
    <x v="0"/>
    <n v="14.26"/>
    <n v="0.30000000000000004"/>
  </r>
  <r>
    <n v="5"/>
    <n v="5"/>
    <n v="3.6"/>
    <n v="1.4"/>
    <n v="0.2"/>
    <x v="0"/>
    <n v="18"/>
    <n v="0.27999999999999997"/>
  </r>
  <r>
    <n v="6"/>
    <n v="5.4"/>
    <n v="3.9"/>
    <n v="1.7"/>
    <n v="0.4"/>
    <x v="0"/>
    <n v="21.060000000000002"/>
    <n v="0.68"/>
  </r>
  <r>
    <n v="7"/>
    <n v="4.5999999999999996"/>
    <n v="3.4"/>
    <n v="1.4"/>
    <n v="0.3"/>
    <x v="0"/>
    <n v="15.639999999999999"/>
    <n v="0.42"/>
  </r>
  <r>
    <n v="8"/>
    <n v="5"/>
    <n v="3.4"/>
    <n v="1.5"/>
    <n v="0.2"/>
    <x v="0"/>
    <n v="17"/>
    <n v="0.30000000000000004"/>
  </r>
  <r>
    <n v="9"/>
    <n v="4.4000000000000004"/>
    <n v="2.9"/>
    <n v="1.4"/>
    <n v="0.2"/>
    <x v="0"/>
    <n v="12.76"/>
    <n v="0.27999999999999997"/>
  </r>
  <r>
    <n v="10"/>
    <n v="4.9000000000000004"/>
    <n v="3.1"/>
    <n v="1.5"/>
    <n v="0.1"/>
    <x v="0"/>
    <n v="15.190000000000001"/>
    <n v="0.15000000000000002"/>
  </r>
  <r>
    <n v="11"/>
    <n v="5.4"/>
    <n v="3.7"/>
    <n v="1.5"/>
    <n v="0.2"/>
    <x v="0"/>
    <n v="19.980000000000004"/>
    <n v="0.30000000000000004"/>
  </r>
  <r>
    <n v="12"/>
    <n v="4.8"/>
    <n v="3.4"/>
    <n v="1.6"/>
    <n v="0.2"/>
    <x v="0"/>
    <n v="16.32"/>
    <n v="0.32000000000000006"/>
  </r>
  <r>
    <n v="13"/>
    <n v="4.8"/>
    <n v="3"/>
    <n v="1.4"/>
    <n v="0.1"/>
    <x v="0"/>
    <n v="14.399999999999999"/>
    <n v="0.13999999999999999"/>
  </r>
  <r>
    <n v="14"/>
    <n v="4.3"/>
    <n v="3"/>
    <n v="1.1000000000000001"/>
    <n v="0.1"/>
    <x v="0"/>
    <n v="12.899999999999999"/>
    <n v="0.11000000000000001"/>
  </r>
  <r>
    <n v="15"/>
    <n v="5.8"/>
    <n v="4"/>
    <n v="1.2"/>
    <n v="0.2"/>
    <x v="0"/>
    <n v="23.2"/>
    <n v="0.24"/>
  </r>
  <r>
    <n v="16"/>
    <n v="5.7"/>
    <n v="4.4000000000000004"/>
    <n v="1.5"/>
    <n v="0.4"/>
    <x v="0"/>
    <n v="25.080000000000002"/>
    <n v="0.60000000000000009"/>
  </r>
  <r>
    <n v="17"/>
    <n v="5.4"/>
    <n v="3.9"/>
    <n v="1.3"/>
    <n v="0.4"/>
    <x v="0"/>
    <n v="21.060000000000002"/>
    <n v="0.52"/>
  </r>
  <r>
    <n v="18"/>
    <n v="5.0999999999999996"/>
    <n v="3.5"/>
    <n v="1.4"/>
    <n v="0.3"/>
    <x v="0"/>
    <n v="17.849999999999998"/>
    <n v="0.42"/>
  </r>
  <r>
    <n v="19"/>
    <n v="5.7"/>
    <n v="3.8"/>
    <n v="1.7"/>
    <n v="0.3"/>
    <x v="0"/>
    <n v="21.66"/>
    <n v="0.51"/>
  </r>
  <r>
    <n v="20"/>
    <n v="5.0999999999999996"/>
    <n v="3.8"/>
    <n v="1.5"/>
    <n v="0.3"/>
    <x v="0"/>
    <n v="19.38"/>
    <n v="0.44999999999999996"/>
  </r>
  <r>
    <n v="21"/>
    <n v="5.4"/>
    <n v="3.4"/>
    <n v="1.7"/>
    <n v="0.2"/>
    <x v="0"/>
    <n v="18.36"/>
    <n v="0.34"/>
  </r>
  <r>
    <n v="22"/>
    <n v="5.0999999999999996"/>
    <n v="3.7"/>
    <n v="1.5"/>
    <n v="0.4"/>
    <x v="0"/>
    <n v="18.87"/>
    <n v="0.60000000000000009"/>
  </r>
  <r>
    <n v="23"/>
    <n v="4.5999999999999996"/>
    <n v="3.6"/>
    <n v="1"/>
    <n v="0.2"/>
    <x v="0"/>
    <n v="16.559999999999999"/>
    <n v="0.2"/>
  </r>
  <r>
    <n v="24"/>
    <n v="5.0999999999999996"/>
    <n v="3.3"/>
    <n v="1.7"/>
    <n v="0.5"/>
    <x v="0"/>
    <n v="16.829999999999998"/>
    <n v="0.85"/>
  </r>
  <r>
    <n v="25"/>
    <n v="4.8"/>
    <n v="3.4"/>
    <n v="1.9"/>
    <n v="0.2"/>
    <x v="0"/>
    <n v="16.32"/>
    <n v="0.38"/>
  </r>
  <r>
    <n v="26"/>
    <n v="5"/>
    <n v="3"/>
    <n v="1.6"/>
    <n v="0.2"/>
    <x v="0"/>
    <n v="15"/>
    <n v="0.32000000000000006"/>
  </r>
  <r>
    <n v="27"/>
    <n v="5"/>
    <n v="3.4"/>
    <n v="1.6"/>
    <n v="0.4"/>
    <x v="0"/>
    <n v="17"/>
    <n v="0.64000000000000012"/>
  </r>
  <r>
    <n v="28"/>
    <n v="5.2"/>
    <n v="3.5"/>
    <n v="1.5"/>
    <n v="0.2"/>
    <x v="0"/>
    <n v="18.2"/>
    <n v="0.30000000000000004"/>
  </r>
  <r>
    <n v="29"/>
    <n v="5.2"/>
    <n v="3.4"/>
    <n v="1.4"/>
    <n v="0.2"/>
    <x v="0"/>
    <n v="17.68"/>
    <n v="0.27999999999999997"/>
  </r>
  <r>
    <n v="30"/>
    <n v="4.7"/>
    <n v="3.2"/>
    <n v="1.6"/>
    <n v="0.2"/>
    <x v="0"/>
    <n v="15.040000000000001"/>
    <n v="0.32000000000000006"/>
  </r>
  <r>
    <n v="31"/>
    <n v="4.8"/>
    <n v="3.1"/>
    <n v="1.6"/>
    <n v="0.2"/>
    <x v="0"/>
    <n v="14.879999999999999"/>
    <n v="0.32000000000000006"/>
  </r>
  <r>
    <n v="32"/>
    <n v="5.4"/>
    <n v="3.4"/>
    <n v="1.5"/>
    <n v="0.4"/>
    <x v="0"/>
    <n v="18.36"/>
    <n v="0.60000000000000009"/>
  </r>
  <r>
    <n v="33"/>
    <n v="5.2"/>
    <n v="4.0999999999999996"/>
    <n v="1.5"/>
    <n v="0.1"/>
    <x v="0"/>
    <n v="21.32"/>
    <n v="0.15000000000000002"/>
  </r>
  <r>
    <n v="34"/>
    <n v="5.5"/>
    <n v="4.2"/>
    <n v="1.4"/>
    <n v="0.2"/>
    <x v="0"/>
    <n v="23.1"/>
    <n v="0.27999999999999997"/>
  </r>
  <r>
    <n v="35"/>
    <n v="4.9000000000000004"/>
    <n v="3.1"/>
    <n v="1.5"/>
    <n v="0.1"/>
    <x v="0"/>
    <n v="15.190000000000001"/>
    <n v="0.15000000000000002"/>
  </r>
  <r>
    <n v="36"/>
    <n v="5"/>
    <n v="3.2"/>
    <n v="1.2"/>
    <n v="0.2"/>
    <x v="0"/>
    <n v="16"/>
    <n v="0.24"/>
  </r>
  <r>
    <n v="37"/>
    <n v="5.5"/>
    <n v="3.5"/>
    <n v="1.3"/>
    <n v="0.2"/>
    <x v="0"/>
    <n v="19.25"/>
    <n v="0.26"/>
  </r>
  <r>
    <n v="38"/>
    <n v="4.9000000000000004"/>
    <n v="3.1"/>
    <n v="1.5"/>
    <n v="0.1"/>
    <x v="0"/>
    <n v="15.190000000000001"/>
    <n v="0.15000000000000002"/>
  </r>
  <r>
    <n v="39"/>
    <n v="4.4000000000000004"/>
    <n v="3"/>
    <n v="1.3"/>
    <n v="0.2"/>
    <x v="0"/>
    <n v="13.200000000000001"/>
    <n v="0.26"/>
  </r>
  <r>
    <n v="40"/>
    <n v="5.0999999999999996"/>
    <n v="3.4"/>
    <n v="1.5"/>
    <n v="0.2"/>
    <x v="0"/>
    <n v="17.34"/>
    <n v="0.30000000000000004"/>
  </r>
  <r>
    <n v="41"/>
    <n v="5"/>
    <n v="3.5"/>
    <n v="1.3"/>
    <n v="0.3"/>
    <x v="0"/>
    <n v="17.5"/>
    <n v="0.39"/>
  </r>
  <r>
    <n v="42"/>
    <n v="4.5"/>
    <n v="2.2999999999999998"/>
    <n v="1.3"/>
    <n v="0.3"/>
    <x v="0"/>
    <n v="10.35"/>
    <n v="0.39"/>
  </r>
  <r>
    <n v="43"/>
    <n v="4.4000000000000004"/>
    <n v="3.2"/>
    <n v="1.3"/>
    <n v="0.2"/>
    <x v="0"/>
    <n v="14.080000000000002"/>
    <n v="0.26"/>
  </r>
  <r>
    <n v="44"/>
    <n v="5"/>
    <n v="3.5"/>
    <n v="1.6"/>
    <n v="0.6"/>
    <x v="0"/>
    <n v="17.5"/>
    <n v="0.96"/>
  </r>
  <r>
    <n v="45"/>
    <n v="5.0999999999999996"/>
    <n v="3.8"/>
    <n v="1.9"/>
    <n v="0.4"/>
    <x v="0"/>
    <n v="19.38"/>
    <n v="0.76"/>
  </r>
  <r>
    <n v="46"/>
    <n v="4.8"/>
    <n v="3"/>
    <n v="1.4"/>
    <n v="0.3"/>
    <x v="0"/>
    <n v="14.399999999999999"/>
    <n v="0.42"/>
  </r>
  <r>
    <n v="47"/>
    <n v="5.0999999999999996"/>
    <n v="3.8"/>
    <n v="1.6"/>
    <n v="0.2"/>
    <x v="0"/>
    <n v="19.38"/>
    <n v="0.32000000000000006"/>
  </r>
  <r>
    <n v="48"/>
    <n v="4.5999999999999996"/>
    <n v="3.2"/>
    <n v="1.4"/>
    <n v="0.2"/>
    <x v="0"/>
    <n v="14.719999999999999"/>
    <n v="0.27999999999999997"/>
  </r>
  <r>
    <n v="49"/>
    <n v="5.3"/>
    <n v="3.7"/>
    <n v="1.5"/>
    <n v="0.2"/>
    <x v="0"/>
    <n v="19.61"/>
    <n v="0.30000000000000004"/>
  </r>
  <r>
    <n v="50"/>
    <n v="5"/>
    <n v="3.3"/>
    <n v="1.4"/>
    <n v="0.2"/>
    <x v="0"/>
    <n v="16.5"/>
    <n v="0.27999999999999997"/>
  </r>
  <r>
    <n v="51"/>
    <n v="7"/>
    <n v="3.2"/>
    <n v="4.7"/>
    <n v="1.4"/>
    <x v="1"/>
    <n v="22.400000000000002"/>
    <n v="6.58"/>
  </r>
  <r>
    <n v="52"/>
    <n v="6.4"/>
    <n v="3.2"/>
    <n v="4.5"/>
    <n v="1.5"/>
    <x v="1"/>
    <n v="20.480000000000004"/>
    <n v="6.75"/>
  </r>
  <r>
    <n v="53"/>
    <n v="6.9"/>
    <n v="3.1"/>
    <n v="4.9000000000000004"/>
    <n v="1.5"/>
    <x v="1"/>
    <n v="21.39"/>
    <n v="7.3500000000000005"/>
  </r>
  <r>
    <n v="54"/>
    <n v="5.5"/>
    <n v="2.2999999999999998"/>
    <n v="4"/>
    <n v="1.3"/>
    <x v="1"/>
    <n v="12.649999999999999"/>
    <n v="5.2"/>
  </r>
  <r>
    <n v="55"/>
    <n v="6.5"/>
    <n v="2.8"/>
    <n v="4.5999999999999996"/>
    <n v="1.5"/>
    <x v="1"/>
    <n v="18.2"/>
    <n v="6.8999999999999995"/>
  </r>
  <r>
    <n v="56"/>
    <n v="5.7"/>
    <n v="2.8"/>
    <n v="4.5"/>
    <n v="1.3"/>
    <x v="1"/>
    <n v="15.959999999999999"/>
    <n v="5.8500000000000005"/>
  </r>
  <r>
    <n v="57"/>
    <n v="6.3"/>
    <n v="3.3"/>
    <n v="4.7"/>
    <n v="1.6"/>
    <x v="1"/>
    <n v="20.79"/>
    <n v="7.5200000000000005"/>
  </r>
  <r>
    <n v="58"/>
    <n v="4.9000000000000004"/>
    <n v="2.4"/>
    <n v="3.3"/>
    <n v="1"/>
    <x v="1"/>
    <n v="11.76"/>
    <n v="3.3"/>
  </r>
  <r>
    <n v="59"/>
    <n v="6.6"/>
    <n v="2.9"/>
    <n v="4.5999999999999996"/>
    <n v="1.3"/>
    <x v="1"/>
    <n v="19.139999999999997"/>
    <n v="5.9799999999999995"/>
  </r>
  <r>
    <n v="60"/>
    <n v="5.2"/>
    <n v="2.7"/>
    <n v="3.9"/>
    <n v="1.4"/>
    <x v="1"/>
    <n v="14.040000000000001"/>
    <n v="5.46"/>
  </r>
  <r>
    <n v="61"/>
    <n v="5"/>
    <n v="2"/>
    <n v="3.5"/>
    <n v="1"/>
    <x v="1"/>
    <n v="10"/>
    <n v="3.5"/>
  </r>
  <r>
    <n v="62"/>
    <n v="5.9"/>
    <n v="3"/>
    <n v="4.2"/>
    <n v="1.5"/>
    <x v="1"/>
    <n v="17.700000000000003"/>
    <n v="6.3000000000000007"/>
  </r>
  <r>
    <n v="63"/>
    <n v="6"/>
    <n v="2.2000000000000002"/>
    <n v="4"/>
    <n v="1"/>
    <x v="1"/>
    <n v="13.200000000000001"/>
    <n v="4"/>
  </r>
  <r>
    <n v="64"/>
    <n v="6.1"/>
    <n v="2.9"/>
    <n v="4.7"/>
    <n v="1.4"/>
    <x v="1"/>
    <n v="17.689999999999998"/>
    <n v="6.58"/>
  </r>
  <r>
    <n v="65"/>
    <n v="5.6"/>
    <n v="2.9"/>
    <n v="3.6"/>
    <n v="1.3"/>
    <x v="1"/>
    <n v="16.239999999999998"/>
    <n v="4.6800000000000006"/>
  </r>
  <r>
    <n v="66"/>
    <n v="6.7"/>
    <n v="3.1"/>
    <n v="4.4000000000000004"/>
    <n v="1.4"/>
    <x v="1"/>
    <n v="20.77"/>
    <n v="6.16"/>
  </r>
  <r>
    <n v="67"/>
    <n v="5.6"/>
    <n v="3"/>
    <n v="4.5"/>
    <n v="1.5"/>
    <x v="1"/>
    <n v="16.799999999999997"/>
    <n v="6.75"/>
  </r>
  <r>
    <n v="68"/>
    <n v="5.8"/>
    <n v="2.7"/>
    <n v="4.0999999999999996"/>
    <n v="1"/>
    <x v="1"/>
    <n v="15.66"/>
    <n v="4.0999999999999996"/>
  </r>
  <r>
    <n v="69"/>
    <n v="6.2"/>
    <n v="2.2000000000000002"/>
    <n v="4.5"/>
    <n v="1.5"/>
    <x v="1"/>
    <n v="13.640000000000002"/>
    <n v="6.75"/>
  </r>
  <r>
    <n v="70"/>
    <n v="5.6"/>
    <n v="2.5"/>
    <n v="3.9"/>
    <n v="1.1000000000000001"/>
    <x v="1"/>
    <n v="14"/>
    <n v="4.29"/>
  </r>
  <r>
    <n v="71"/>
    <n v="5.9"/>
    <n v="3.2"/>
    <n v="4.8"/>
    <n v="1.8"/>
    <x v="1"/>
    <n v="18.880000000000003"/>
    <n v="8.64"/>
  </r>
  <r>
    <n v="72"/>
    <n v="6.1"/>
    <n v="2.8"/>
    <n v="4"/>
    <n v="1.3"/>
    <x v="1"/>
    <n v="17.079999999999998"/>
    <n v="5.2"/>
  </r>
  <r>
    <n v="73"/>
    <n v="6.3"/>
    <n v="2.5"/>
    <n v="4.9000000000000004"/>
    <n v="1.5"/>
    <x v="1"/>
    <n v="15.75"/>
    <n v="7.3500000000000005"/>
  </r>
  <r>
    <n v="74"/>
    <n v="6.1"/>
    <n v="2.8"/>
    <n v="4.7"/>
    <n v="1.2"/>
    <x v="1"/>
    <n v="17.079999999999998"/>
    <n v="5.64"/>
  </r>
  <r>
    <n v="75"/>
    <n v="6.4"/>
    <n v="2.9"/>
    <n v="4.3"/>
    <n v="1.3"/>
    <x v="1"/>
    <n v="18.559999999999999"/>
    <n v="5.59"/>
  </r>
  <r>
    <n v="76"/>
    <n v="6.6"/>
    <n v="3"/>
    <n v="4.4000000000000004"/>
    <n v="1.4"/>
    <x v="1"/>
    <n v="19.799999999999997"/>
    <n v="6.16"/>
  </r>
  <r>
    <n v="77"/>
    <n v="6.8"/>
    <n v="2.8"/>
    <n v="4.8"/>
    <n v="1.4"/>
    <x v="1"/>
    <n v="19.04"/>
    <n v="6.72"/>
  </r>
  <r>
    <n v="78"/>
    <n v="6.7"/>
    <n v="3"/>
    <n v="5"/>
    <n v="1.7"/>
    <x v="1"/>
    <n v="20.100000000000001"/>
    <n v="8.5"/>
  </r>
  <r>
    <n v="79"/>
    <n v="6"/>
    <n v="2.9"/>
    <n v="4.5"/>
    <n v="1.5"/>
    <x v="1"/>
    <n v="17.399999999999999"/>
    <n v="6.75"/>
  </r>
  <r>
    <n v="80"/>
    <n v="5.7"/>
    <n v="2.6"/>
    <n v="3.5"/>
    <n v="1"/>
    <x v="1"/>
    <n v="14.82"/>
    <n v="3.5"/>
  </r>
  <r>
    <n v="81"/>
    <n v="5.5"/>
    <n v="2.4"/>
    <n v="3.8"/>
    <n v="1.1000000000000001"/>
    <x v="1"/>
    <n v="13.2"/>
    <n v="4.18"/>
  </r>
  <r>
    <n v="82"/>
    <n v="5.5"/>
    <n v="2.4"/>
    <n v="3.7"/>
    <n v="1"/>
    <x v="1"/>
    <n v="13.2"/>
    <n v="3.7"/>
  </r>
  <r>
    <n v="83"/>
    <n v="5.8"/>
    <n v="2.7"/>
    <n v="3.9"/>
    <n v="1.2"/>
    <x v="1"/>
    <n v="15.66"/>
    <n v="4.68"/>
  </r>
  <r>
    <n v="84"/>
    <n v="6"/>
    <n v="2.7"/>
    <n v="5.0999999999999996"/>
    <n v="1.6"/>
    <x v="1"/>
    <n v="16.200000000000003"/>
    <n v="8.16"/>
  </r>
  <r>
    <n v="85"/>
    <n v="5.4"/>
    <n v="3"/>
    <n v="4.5"/>
    <n v="1.5"/>
    <x v="1"/>
    <n v="16.200000000000003"/>
    <n v="6.75"/>
  </r>
  <r>
    <n v="86"/>
    <n v="6"/>
    <n v="3.4"/>
    <n v="4.5"/>
    <n v="1.6"/>
    <x v="1"/>
    <n v="20.399999999999999"/>
    <n v="7.2"/>
  </r>
  <r>
    <n v="87"/>
    <n v="6.7"/>
    <n v="3.1"/>
    <n v="4.7"/>
    <n v="1.5"/>
    <x v="1"/>
    <n v="20.77"/>
    <n v="7.0500000000000007"/>
  </r>
  <r>
    <n v="88"/>
    <n v="6.3"/>
    <n v="2.2999999999999998"/>
    <n v="4.4000000000000004"/>
    <n v="1.3"/>
    <x v="1"/>
    <n v="14.489999999999998"/>
    <n v="5.7200000000000006"/>
  </r>
  <r>
    <n v="89"/>
    <n v="5.6"/>
    <n v="3"/>
    <n v="4.0999999999999996"/>
    <n v="1.3"/>
    <x v="1"/>
    <n v="16.799999999999997"/>
    <n v="5.33"/>
  </r>
  <r>
    <n v="90"/>
    <n v="5.5"/>
    <n v="2.5"/>
    <n v="4"/>
    <n v="1.3"/>
    <x v="1"/>
    <n v="13.75"/>
    <n v="5.2"/>
  </r>
  <r>
    <n v="91"/>
    <n v="5.5"/>
    <n v="2.6"/>
    <n v="4.4000000000000004"/>
    <n v="1.2"/>
    <x v="1"/>
    <n v="14.3"/>
    <n v="5.28"/>
  </r>
  <r>
    <n v="92"/>
    <n v="6.1"/>
    <n v="3"/>
    <n v="4.5999999999999996"/>
    <n v="1.4"/>
    <x v="1"/>
    <n v="18.299999999999997"/>
    <n v="6.4399999999999995"/>
  </r>
  <r>
    <n v="93"/>
    <n v="5.8"/>
    <n v="2.6"/>
    <n v="4"/>
    <n v="1.2"/>
    <x v="1"/>
    <n v="15.08"/>
    <n v="4.8"/>
  </r>
  <r>
    <n v="94"/>
    <n v="5"/>
    <n v="2.2999999999999998"/>
    <n v="3.3"/>
    <n v="1"/>
    <x v="1"/>
    <n v="11.5"/>
    <n v="3.3"/>
  </r>
  <r>
    <n v="95"/>
    <n v="5.6"/>
    <n v="2.7"/>
    <n v="4.2"/>
    <n v="1.3"/>
    <x v="1"/>
    <n v="15.12"/>
    <n v="5.4600000000000009"/>
  </r>
  <r>
    <n v="96"/>
    <n v="5.7"/>
    <n v="3"/>
    <n v="4.2"/>
    <n v="1.2"/>
    <x v="1"/>
    <n v="17.100000000000001"/>
    <n v="5.04"/>
  </r>
  <r>
    <n v="97"/>
    <n v="5.7"/>
    <n v="2.9"/>
    <n v="4.2"/>
    <n v="1.3"/>
    <x v="1"/>
    <n v="16.53"/>
    <n v="5.4600000000000009"/>
  </r>
  <r>
    <n v="98"/>
    <n v="6.2"/>
    <n v="2.9"/>
    <n v="4.3"/>
    <n v="1.3"/>
    <x v="1"/>
    <n v="17.98"/>
    <n v="5.59"/>
  </r>
  <r>
    <n v="99"/>
    <n v="5.0999999999999996"/>
    <n v="2.5"/>
    <n v="3"/>
    <n v="1.1000000000000001"/>
    <x v="1"/>
    <n v="12.75"/>
    <n v="3.3000000000000003"/>
  </r>
  <r>
    <n v="100"/>
    <n v="5.7"/>
    <n v="2.8"/>
    <n v="4.0999999999999996"/>
    <n v="1.3"/>
    <x v="1"/>
    <n v="15.959999999999999"/>
    <n v="5.33"/>
  </r>
  <r>
    <n v="101"/>
    <n v="6.3"/>
    <n v="3.3"/>
    <n v="6"/>
    <n v="2.5"/>
    <x v="2"/>
    <n v="20.79"/>
    <n v="15"/>
  </r>
  <r>
    <n v="102"/>
    <n v="5.8"/>
    <n v="2.7"/>
    <n v="5.0999999999999996"/>
    <n v="1.9"/>
    <x v="2"/>
    <n v="15.66"/>
    <n v="9.69"/>
  </r>
  <r>
    <n v="103"/>
    <n v="7.1"/>
    <n v="3"/>
    <n v="5.9"/>
    <n v="2.1"/>
    <x v="2"/>
    <n v="21.299999999999997"/>
    <n v="12.39"/>
  </r>
  <r>
    <n v="104"/>
    <n v="6.3"/>
    <n v="2.9"/>
    <n v="5.6"/>
    <n v="1.8"/>
    <x v="2"/>
    <n v="18.27"/>
    <n v="10.08"/>
  </r>
  <r>
    <n v="105"/>
    <n v="6.5"/>
    <n v="3"/>
    <n v="5.8"/>
    <n v="2.2000000000000002"/>
    <x v="2"/>
    <n v="19.5"/>
    <n v="12.76"/>
  </r>
  <r>
    <n v="106"/>
    <n v="7.6"/>
    <n v="3"/>
    <n v="6.6"/>
    <n v="2.1"/>
    <x v="2"/>
    <n v="22.799999999999997"/>
    <n v="13.86"/>
  </r>
  <r>
    <n v="107"/>
    <n v="4.9000000000000004"/>
    <n v="2.5"/>
    <n v="4.5"/>
    <n v="1.7"/>
    <x v="2"/>
    <n v="12.25"/>
    <n v="7.6499999999999995"/>
  </r>
  <r>
    <n v="108"/>
    <n v="7.3"/>
    <n v="2.9"/>
    <n v="6.3"/>
    <n v="1.8"/>
    <x v="2"/>
    <n v="21.169999999999998"/>
    <n v="11.34"/>
  </r>
  <r>
    <n v="109"/>
    <n v="6.7"/>
    <n v="2.5"/>
    <n v="5.8"/>
    <n v="1.8"/>
    <x v="2"/>
    <n v="16.75"/>
    <n v="10.44"/>
  </r>
  <r>
    <n v="110"/>
    <n v="7.2"/>
    <n v="3.6"/>
    <n v="6.1"/>
    <n v="2.5"/>
    <x v="2"/>
    <n v="25.92"/>
    <n v="15.25"/>
  </r>
  <r>
    <n v="111"/>
    <n v="6.5"/>
    <n v="3.2"/>
    <n v="5.0999999999999996"/>
    <n v="2"/>
    <x v="2"/>
    <n v="20.8"/>
    <n v="10.199999999999999"/>
  </r>
  <r>
    <n v="112"/>
    <n v="6.4"/>
    <n v="2.7"/>
    <n v="5.3"/>
    <n v="1.9"/>
    <x v="2"/>
    <n v="17.28"/>
    <n v="10.069999999999999"/>
  </r>
  <r>
    <n v="113"/>
    <n v="6.8"/>
    <n v="3"/>
    <n v="5.5"/>
    <n v="2.1"/>
    <x v="2"/>
    <n v="20.399999999999999"/>
    <n v="11.55"/>
  </r>
  <r>
    <n v="114"/>
    <n v="5.7"/>
    <n v="2.5"/>
    <n v="5"/>
    <n v="2"/>
    <x v="2"/>
    <n v="14.25"/>
    <n v="10"/>
  </r>
  <r>
    <n v="115"/>
    <n v="5.8"/>
    <n v="2.8"/>
    <n v="5.0999999999999996"/>
    <n v="2.4"/>
    <x v="2"/>
    <n v="16.239999999999998"/>
    <n v="12.239999999999998"/>
  </r>
  <r>
    <n v="116"/>
    <n v="6.4"/>
    <n v="3.2"/>
    <n v="5.3"/>
    <n v="2.2999999999999998"/>
    <x v="2"/>
    <n v="20.480000000000004"/>
    <n v="12.19"/>
  </r>
  <r>
    <n v="117"/>
    <n v="6.5"/>
    <n v="3"/>
    <n v="5.5"/>
    <n v="1.8"/>
    <x v="2"/>
    <n v="19.5"/>
    <n v="9.9"/>
  </r>
  <r>
    <n v="118"/>
    <n v="7.7"/>
    <n v="3.8"/>
    <n v="6.7"/>
    <n v="2.2000000000000002"/>
    <x v="2"/>
    <n v="29.259999999999998"/>
    <n v="14.740000000000002"/>
  </r>
  <r>
    <n v="119"/>
    <n v="7.7"/>
    <n v="2.6"/>
    <n v="6.9"/>
    <n v="2.2999999999999998"/>
    <x v="2"/>
    <n v="20.02"/>
    <n v="15.87"/>
  </r>
  <r>
    <n v="120"/>
    <n v="6"/>
    <n v="2.2000000000000002"/>
    <n v="5"/>
    <n v="1.5"/>
    <x v="2"/>
    <n v="13.200000000000001"/>
    <n v="7.5"/>
  </r>
  <r>
    <n v="121"/>
    <n v="6.9"/>
    <n v="3.2"/>
    <n v="5.7"/>
    <n v="2.2999999999999998"/>
    <x v="2"/>
    <n v="22.080000000000002"/>
    <n v="13.11"/>
  </r>
  <r>
    <n v="122"/>
    <n v="5.6"/>
    <n v="2.8"/>
    <n v="4.9000000000000004"/>
    <n v="2"/>
    <x v="2"/>
    <n v="15.679999999999998"/>
    <n v="9.8000000000000007"/>
  </r>
  <r>
    <n v="123"/>
    <n v="7.7"/>
    <n v="2.8"/>
    <n v="6.7"/>
    <n v="2"/>
    <x v="2"/>
    <n v="21.56"/>
    <n v="13.4"/>
  </r>
  <r>
    <n v="124"/>
    <n v="6.3"/>
    <n v="2.7"/>
    <n v="4.9000000000000004"/>
    <n v="1.8"/>
    <x v="2"/>
    <n v="17.010000000000002"/>
    <n v="8.82"/>
  </r>
  <r>
    <n v="125"/>
    <n v="6.7"/>
    <n v="3.3"/>
    <n v="5.7"/>
    <n v="2.1"/>
    <x v="2"/>
    <n v="22.11"/>
    <n v="11.97"/>
  </r>
  <r>
    <n v="126"/>
    <n v="7.2"/>
    <n v="3.2"/>
    <n v="6"/>
    <n v="1.8"/>
    <x v="2"/>
    <n v="23.040000000000003"/>
    <n v="10.8"/>
  </r>
  <r>
    <n v="127"/>
    <n v="6.2"/>
    <n v="2.8"/>
    <n v="4.8"/>
    <n v="1.8"/>
    <x v="2"/>
    <n v="17.36"/>
    <n v="8.64"/>
  </r>
  <r>
    <n v="128"/>
    <n v="6.1"/>
    <n v="3"/>
    <n v="4.9000000000000004"/>
    <n v="1.8"/>
    <x v="2"/>
    <n v="18.299999999999997"/>
    <n v="8.82"/>
  </r>
  <r>
    <n v="129"/>
    <n v="6.4"/>
    <n v="2.8"/>
    <n v="5.6"/>
    <n v="2.1"/>
    <x v="2"/>
    <n v="17.919999999999998"/>
    <n v="11.76"/>
  </r>
  <r>
    <n v="130"/>
    <n v="7.2"/>
    <n v="3"/>
    <n v="5.8"/>
    <n v="1.6"/>
    <x v="2"/>
    <n v="21.6"/>
    <n v="9.2799999999999994"/>
  </r>
  <r>
    <n v="131"/>
    <n v="7.4"/>
    <n v="2.8"/>
    <n v="6.1"/>
    <n v="1.9"/>
    <x v="2"/>
    <n v="20.72"/>
    <n v="11.589999999999998"/>
  </r>
  <r>
    <n v="132"/>
    <n v="7.9"/>
    <n v="3.8"/>
    <n v="6.4"/>
    <n v="2"/>
    <x v="2"/>
    <n v="30.02"/>
    <n v="12.8"/>
  </r>
  <r>
    <n v="133"/>
    <n v="6.4"/>
    <n v="2.8"/>
    <n v="5.6"/>
    <n v="2.2000000000000002"/>
    <x v="2"/>
    <n v="17.919999999999998"/>
    <n v="12.32"/>
  </r>
  <r>
    <n v="134"/>
    <n v="6.3"/>
    <n v="2.8"/>
    <n v="5.0999999999999996"/>
    <n v="1.5"/>
    <x v="2"/>
    <n v="17.639999999999997"/>
    <n v="7.6499999999999995"/>
  </r>
  <r>
    <n v="135"/>
    <n v="6.1"/>
    <n v="2.6"/>
    <n v="5.6"/>
    <n v="1.4"/>
    <x v="2"/>
    <n v="15.86"/>
    <n v="7.839999999999999"/>
  </r>
  <r>
    <n v="136"/>
    <n v="7.7"/>
    <n v="3"/>
    <n v="6.1"/>
    <n v="2.2999999999999998"/>
    <x v="2"/>
    <n v="23.1"/>
    <n v="14.029999999999998"/>
  </r>
  <r>
    <n v="137"/>
    <n v="6.3"/>
    <n v="3.4"/>
    <n v="5.6"/>
    <n v="2.4"/>
    <x v="2"/>
    <n v="21.419999999999998"/>
    <n v="13.44"/>
  </r>
  <r>
    <n v="138"/>
    <n v="6.4"/>
    <n v="3.1"/>
    <n v="5.5"/>
    <n v="1.8"/>
    <x v="2"/>
    <n v="19.840000000000003"/>
    <n v="9.9"/>
  </r>
  <r>
    <n v="139"/>
    <n v="6"/>
    <n v="3"/>
    <n v="4.8"/>
    <n v="1.8"/>
    <x v="2"/>
    <n v="18"/>
    <n v="8.64"/>
  </r>
  <r>
    <n v="140"/>
    <n v="6.9"/>
    <n v="3.1"/>
    <n v="5.4"/>
    <n v="2.1"/>
    <x v="2"/>
    <n v="21.39"/>
    <n v="11.340000000000002"/>
  </r>
  <r>
    <n v="141"/>
    <n v="6.7"/>
    <n v="3.1"/>
    <n v="5.6"/>
    <n v="2.4"/>
    <x v="2"/>
    <n v="20.77"/>
    <n v="13.44"/>
  </r>
  <r>
    <n v="142"/>
    <n v="6.9"/>
    <n v="3.1"/>
    <n v="5.0999999999999996"/>
    <n v="2.2999999999999998"/>
    <x v="2"/>
    <n v="21.39"/>
    <n v="11.729999999999999"/>
  </r>
  <r>
    <n v="143"/>
    <n v="5.8"/>
    <n v="2.7"/>
    <n v="5.0999999999999996"/>
    <n v="1.9"/>
    <x v="2"/>
    <n v="15.66"/>
    <n v="9.69"/>
  </r>
  <r>
    <n v="144"/>
    <n v="6.8"/>
    <n v="3.2"/>
    <n v="5.9"/>
    <n v="2.2999999999999998"/>
    <x v="2"/>
    <n v="21.76"/>
    <n v="13.57"/>
  </r>
  <r>
    <n v="145"/>
    <n v="6.7"/>
    <n v="3.3"/>
    <n v="5.7"/>
    <n v="2.5"/>
    <x v="2"/>
    <n v="22.11"/>
    <n v="14.25"/>
  </r>
  <r>
    <n v="146"/>
    <n v="6.7"/>
    <n v="3"/>
    <n v="5.2"/>
    <n v="2.2999999999999998"/>
    <x v="2"/>
    <n v="20.100000000000001"/>
    <n v="11.959999999999999"/>
  </r>
  <r>
    <n v="147"/>
    <n v="6.3"/>
    <n v="2.5"/>
    <n v="5"/>
    <n v="1.9"/>
    <x v="2"/>
    <n v="15.75"/>
    <n v="9.5"/>
  </r>
  <r>
    <n v="148"/>
    <n v="6.5"/>
    <n v="3"/>
    <n v="5.2"/>
    <n v="2"/>
    <x v="2"/>
    <n v="19.5"/>
    <n v="10.4"/>
  </r>
  <r>
    <n v="149"/>
    <n v="6.2"/>
    <n v="3.4"/>
    <n v="5.4"/>
    <n v="2.2999999999999998"/>
    <x v="2"/>
    <n v="21.08"/>
    <n v="12.42"/>
  </r>
  <r>
    <n v="150"/>
    <n v="5.9"/>
    <n v="3"/>
    <n v="5.0999999999999996"/>
    <n v="1.8"/>
    <x v="2"/>
    <n v="17.700000000000003"/>
    <n v="9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2D4D0-C4F8-4A03-9C0E-3F926A3A87D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8"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pecies" fld="5" subtotal="count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0B6D-5C6C-4A88-A5FA-480F23677C71}">
  <dimension ref="A1:H151"/>
  <sheetViews>
    <sheetView workbookViewId="0">
      <selection activeCell="D4" sqref="D4"/>
    </sheetView>
  </sheetViews>
  <sheetFormatPr defaultRowHeight="14.4" x14ac:dyDescent="0.3"/>
  <cols>
    <col min="2" max="2" width="16.21875" customWidth="1"/>
    <col min="3" max="3" width="17.21875" customWidth="1"/>
    <col min="4" max="4" width="17.5546875" customWidth="1"/>
    <col min="5" max="5" width="20.5546875" customWidth="1"/>
    <col min="6" max="6" width="18" customWidth="1"/>
    <col min="7" max="7" width="14.5546875" customWidth="1"/>
    <col min="8" max="8" width="15.21875" customWidth="1"/>
  </cols>
  <sheetData>
    <row r="1" spans="1:8" x14ac:dyDescent="0.3">
      <c r="A1" s="1" t="s">
        <v>6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</row>
    <row r="2" spans="1:8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1</v>
      </c>
      <c r="G2">
        <f>B2*C2</f>
        <v>17.849999999999998</v>
      </c>
      <c r="H2">
        <f>D2*E2</f>
        <v>0.27999999999999997</v>
      </c>
    </row>
    <row r="3" spans="1:8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1</v>
      </c>
      <c r="G3">
        <f t="shared" ref="G3:G66" si="0">B3*C3</f>
        <v>14.700000000000001</v>
      </c>
      <c r="H3">
        <f t="shared" ref="H3:H66" si="1">D3*E3</f>
        <v>0.27999999999999997</v>
      </c>
    </row>
    <row r="4" spans="1:8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1</v>
      </c>
      <c r="G4">
        <f t="shared" si="0"/>
        <v>15.040000000000001</v>
      </c>
      <c r="H4">
        <f t="shared" si="1"/>
        <v>0.26</v>
      </c>
    </row>
    <row r="5" spans="1:8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1</v>
      </c>
      <c r="G5">
        <f t="shared" si="0"/>
        <v>14.26</v>
      </c>
      <c r="H5">
        <f t="shared" si="1"/>
        <v>0.30000000000000004</v>
      </c>
    </row>
    <row r="6" spans="1:8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1</v>
      </c>
      <c r="G6">
        <f t="shared" si="0"/>
        <v>18</v>
      </c>
      <c r="H6">
        <f t="shared" si="1"/>
        <v>0.27999999999999997</v>
      </c>
    </row>
    <row r="7" spans="1:8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1</v>
      </c>
      <c r="G7">
        <f t="shared" si="0"/>
        <v>21.060000000000002</v>
      </c>
      <c r="H7">
        <f t="shared" si="1"/>
        <v>0.68</v>
      </c>
    </row>
    <row r="8" spans="1:8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1</v>
      </c>
      <c r="G8">
        <f t="shared" si="0"/>
        <v>15.639999999999999</v>
      </c>
      <c r="H8">
        <f t="shared" si="1"/>
        <v>0.42</v>
      </c>
    </row>
    <row r="9" spans="1:8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1</v>
      </c>
      <c r="G9">
        <f t="shared" si="0"/>
        <v>17</v>
      </c>
      <c r="H9">
        <f t="shared" si="1"/>
        <v>0.30000000000000004</v>
      </c>
    </row>
    <row r="10" spans="1:8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1</v>
      </c>
      <c r="G10">
        <f t="shared" si="0"/>
        <v>12.76</v>
      </c>
      <c r="H10">
        <f t="shared" si="1"/>
        <v>0.27999999999999997</v>
      </c>
    </row>
    <row r="11" spans="1:8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1</v>
      </c>
      <c r="G11">
        <f t="shared" si="0"/>
        <v>15.190000000000001</v>
      </c>
      <c r="H11">
        <f t="shared" si="1"/>
        <v>0.15000000000000002</v>
      </c>
    </row>
    <row r="12" spans="1:8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1</v>
      </c>
      <c r="G12">
        <f t="shared" si="0"/>
        <v>19.980000000000004</v>
      </c>
      <c r="H12">
        <f t="shared" si="1"/>
        <v>0.30000000000000004</v>
      </c>
    </row>
    <row r="13" spans="1:8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1</v>
      </c>
      <c r="G13">
        <f t="shared" si="0"/>
        <v>16.32</v>
      </c>
      <c r="H13">
        <f t="shared" si="1"/>
        <v>0.32000000000000006</v>
      </c>
    </row>
    <row r="14" spans="1:8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1</v>
      </c>
      <c r="G14">
        <f t="shared" si="0"/>
        <v>14.399999999999999</v>
      </c>
      <c r="H14">
        <f t="shared" si="1"/>
        <v>0.13999999999999999</v>
      </c>
    </row>
    <row r="15" spans="1:8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1</v>
      </c>
      <c r="G15">
        <f t="shared" si="0"/>
        <v>12.899999999999999</v>
      </c>
      <c r="H15">
        <f t="shared" si="1"/>
        <v>0.11000000000000001</v>
      </c>
    </row>
    <row r="16" spans="1:8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1</v>
      </c>
      <c r="G16">
        <f t="shared" si="0"/>
        <v>23.2</v>
      </c>
      <c r="H16">
        <f t="shared" si="1"/>
        <v>0.24</v>
      </c>
    </row>
    <row r="17" spans="1:8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1</v>
      </c>
      <c r="G17">
        <f t="shared" si="0"/>
        <v>25.080000000000002</v>
      </c>
      <c r="H17">
        <f t="shared" si="1"/>
        <v>0.60000000000000009</v>
      </c>
    </row>
    <row r="18" spans="1:8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1</v>
      </c>
      <c r="G18">
        <f t="shared" si="0"/>
        <v>21.060000000000002</v>
      </c>
      <c r="H18">
        <f t="shared" si="1"/>
        <v>0.52</v>
      </c>
    </row>
    <row r="19" spans="1:8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1</v>
      </c>
      <c r="G19">
        <f t="shared" si="0"/>
        <v>17.849999999999998</v>
      </c>
      <c r="H19">
        <f t="shared" si="1"/>
        <v>0.42</v>
      </c>
    </row>
    <row r="20" spans="1:8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1</v>
      </c>
      <c r="G20">
        <f t="shared" si="0"/>
        <v>21.66</v>
      </c>
      <c r="H20">
        <f t="shared" si="1"/>
        <v>0.51</v>
      </c>
    </row>
    <row r="21" spans="1:8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1</v>
      </c>
      <c r="G21">
        <f t="shared" si="0"/>
        <v>19.38</v>
      </c>
      <c r="H21">
        <f t="shared" si="1"/>
        <v>0.44999999999999996</v>
      </c>
    </row>
    <row r="22" spans="1:8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1</v>
      </c>
      <c r="G22">
        <f t="shared" si="0"/>
        <v>18.36</v>
      </c>
      <c r="H22">
        <f t="shared" si="1"/>
        <v>0.34</v>
      </c>
    </row>
    <row r="23" spans="1:8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1</v>
      </c>
      <c r="G23">
        <f t="shared" si="0"/>
        <v>18.87</v>
      </c>
      <c r="H23">
        <f t="shared" si="1"/>
        <v>0.60000000000000009</v>
      </c>
    </row>
    <row r="24" spans="1:8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1</v>
      </c>
      <c r="G24">
        <f t="shared" si="0"/>
        <v>16.559999999999999</v>
      </c>
      <c r="H24">
        <f t="shared" si="1"/>
        <v>0.2</v>
      </c>
    </row>
    <row r="25" spans="1:8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1</v>
      </c>
      <c r="G25">
        <f t="shared" si="0"/>
        <v>16.829999999999998</v>
      </c>
      <c r="H25">
        <f t="shared" si="1"/>
        <v>0.85</v>
      </c>
    </row>
    <row r="26" spans="1:8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1</v>
      </c>
      <c r="G26">
        <f t="shared" si="0"/>
        <v>16.32</v>
      </c>
      <c r="H26">
        <f t="shared" si="1"/>
        <v>0.38</v>
      </c>
    </row>
    <row r="27" spans="1:8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1</v>
      </c>
      <c r="G27">
        <f t="shared" si="0"/>
        <v>15</v>
      </c>
      <c r="H27">
        <f t="shared" si="1"/>
        <v>0.32000000000000006</v>
      </c>
    </row>
    <row r="28" spans="1:8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1</v>
      </c>
      <c r="G28">
        <f t="shared" si="0"/>
        <v>17</v>
      </c>
      <c r="H28">
        <f t="shared" si="1"/>
        <v>0.64000000000000012</v>
      </c>
    </row>
    <row r="29" spans="1:8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1</v>
      </c>
      <c r="G29">
        <f t="shared" si="0"/>
        <v>18.2</v>
      </c>
      <c r="H29">
        <f t="shared" si="1"/>
        <v>0.30000000000000004</v>
      </c>
    </row>
    <row r="30" spans="1:8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1</v>
      </c>
      <c r="G30">
        <f t="shared" si="0"/>
        <v>17.68</v>
      </c>
      <c r="H30">
        <f t="shared" si="1"/>
        <v>0.27999999999999997</v>
      </c>
    </row>
    <row r="31" spans="1:8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1</v>
      </c>
      <c r="G31">
        <f t="shared" si="0"/>
        <v>15.040000000000001</v>
      </c>
      <c r="H31">
        <f t="shared" si="1"/>
        <v>0.32000000000000006</v>
      </c>
    </row>
    <row r="32" spans="1:8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1</v>
      </c>
      <c r="G32">
        <f t="shared" si="0"/>
        <v>14.879999999999999</v>
      </c>
      <c r="H32">
        <f t="shared" si="1"/>
        <v>0.32000000000000006</v>
      </c>
    </row>
    <row r="33" spans="1:8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1</v>
      </c>
      <c r="G33">
        <f t="shared" si="0"/>
        <v>18.36</v>
      </c>
      <c r="H33">
        <f t="shared" si="1"/>
        <v>0.60000000000000009</v>
      </c>
    </row>
    <row r="34" spans="1:8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1</v>
      </c>
      <c r="G34">
        <f t="shared" si="0"/>
        <v>21.32</v>
      </c>
      <c r="H34">
        <f t="shared" si="1"/>
        <v>0.15000000000000002</v>
      </c>
    </row>
    <row r="35" spans="1:8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1</v>
      </c>
      <c r="G35">
        <f t="shared" si="0"/>
        <v>23.1</v>
      </c>
      <c r="H35">
        <f t="shared" si="1"/>
        <v>0.27999999999999997</v>
      </c>
    </row>
    <row r="36" spans="1:8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1</v>
      </c>
      <c r="G36">
        <f t="shared" si="0"/>
        <v>15.190000000000001</v>
      </c>
      <c r="H36">
        <f t="shared" si="1"/>
        <v>0.15000000000000002</v>
      </c>
    </row>
    <row r="37" spans="1:8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1</v>
      </c>
      <c r="G37">
        <f t="shared" si="0"/>
        <v>16</v>
      </c>
      <c r="H37">
        <f t="shared" si="1"/>
        <v>0.24</v>
      </c>
    </row>
    <row r="38" spans="1:8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1</v>
      </c>
      <c r="G38">
        <f t="shared" si="0"/>
        <v>19.25</v>
      </c>
      <c r="H38">
        <f t="shared" si="1"/>
        <v>0.26</v>
      </c>
    </row>
    <row r="39" spans="1:8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1</v>
      </c>
      <c r="G39">
        <f t="shared" si="0"/>
        <v>15.190000000000001</v>
      </c>
      <c r="H39">
        <f t="shared" si="1"/>
        <v>0.15000000000000002</v>
      </c>
    </row>
    <row r="40" spans="1:8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1</v>
      </c>
      <c r="G40">
        <f t="shared" si="0"/>
        <v>13.200000000000001</v>
      </c>
      <c r="H40">
        <f t="shared" si="1"/>
        <v>0.26</v>
      </c>
    </row>
    <row r="41" spans="1:8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1</v>
      </c>
      <c r="G41">
        <f t="shared" si="0"/>
        <v>17.34</v>
      </c>
      <c r="H41">
        <f t="shared" si="1"/>
        <v>0.30000000000000004</v>
      </c>
    </row>
    <row r="42" spans="1:8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1</v>
      </c>
      <c r="G42">
        <f t="shared" si="0"/>
        <v>17.5</v>
      </c>
      <c r="H42">
        <f t="shared" si="1"/>
        <v>0.39</v>
      </c>
    </row>
    <row r="43" spans="1:8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1</v>
      </c>
      <c r="G43">
        <f t="shared" si="0"/>
        <v>10.35</v>
      </c>
      <c r="H43">
        <f t="shared" si="1"/>
        <v>0.39</v>
      </c>
    </row>
    <row r="44" spans="1:8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1</v>
      </c>
      <c r="G44">
        <f t="shared" si="0"/>
        <v>14.080000000000002</v>
      </c>
      <c r="H44">
        <f t="shared" si="1"/>
        <v>0.26</v>
      </c>
    </row>
    <row r="45" spans="1:8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1</v>
      </c>
      <c r="G45">
        <f t="shared" si="0"/>
        <v>17.5</v>
      </c>
      <c r="H45">
        <f t="shared" si="1"/>
        <v>0.96</v>
      </c>
    </row>
    <row r="46" spans="1:8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1</v>
      </c>
      <c r="G46">
        <f t="shared" si="0"/>
        <v>19.38</v>
      </c>
      <c r="H46">
        <f t="shared" si="1"/>
        <v>0.76</v>
      </c>
    </row>
    <row r="47" spans="1:8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1</v>
      </c>
      <c r="G47">
        <f t="shared" si="0"/>
        <v>14.399999999999999</v>
      </c>
      <c r="H47">
        <f t="shared" si="1"/>
        <v>0.42</v>
      </c>
    </row>
    <row r="48" spans="1:8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1</v>
      </c>
      <c r="G48">
        <f t="shared" si="0"/>
        <v>19.38</v>
      </c>
      <c r="H48">
        <f t="shared" si="1"/>
        <v>0.32000000000000006</v>
      </c>
    </row>
    <row r="49" spans="1:8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1</v>
      </c>
      <c r="G49">
        <f t="shared" si="0"/>
        <v>14.719999999999999</v>
      </c>
      <c r="H49">
        <f t="shared" si="1"/>
        <v>0.27999999999999997</v>
      </c>
    </row>
    <row r="50" spans="1:8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1</v>
      </c>
      <c r="G50">
        <f t="shared" si="0"/>
        <v>19.61</v>
      </c>
      <c r="H50">
        <f t="shared" si="1"/>
        <v>0.30000000000000004</v>
      </c>
    </row>
    <row r="51" spans="1:8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1</v>
      </c>
      <c r="G51">
        <f t="shared" si="0"/>
        <v>16.5</v>
      </c>
      <c r="H51">
        <f t="shared" si="1"/>
        <v>0.27999999999999997</v>
      </c>
    </row>
    <row r="52" spans="1:8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2</v>
      </c>
      <c r="G52">
        <f t="shared" si="0"/>
        <v>22.400000000000002</v>
      </c>
      <c r="H52">
        <f t="shared" si="1"/>
        <v>6.58</v>
      </c>
    </row>
    <row r="53" spans="1:8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2</v>
      </c>
      <c r="G53">
        <f t="shared" si="0"/>
        <v>20.480000000000004</v>
      </c>
      <c r="H53">
        <f t="shared" si="1"/>
        <v>6.75</v>
      </c>
    </row>
    <row r="54" spans="1:8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2</v>
      </c>
      <c r="G54">
        <f t="shared" si="0"/>
        <v>21.39</v>
      </c>
      <c r="H54">
        <f t="shared" si="1"/>
        <v>7.3500000000000005</v>
      </c>
    </row>
    <row r="55" spans="1:8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2</v>
      </c>
      <c r="G55">
        <f t="shared" si="0"/>
        <v>12.649999999999999</v>
      </c>
      <c r="H55">
        <f t="shared" si="1"/>
        <v>5.2</v>
      </c>
    </row>
    <row r="56" spans="1:8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2</v>
      </c>
      <c r="G56">
        <f t="shared" si="0"/>
        <v>18.2</v>
      </c>
      <c r="H56">
        <f t="shared" si="1"/>
        <v>6.8999999999999995</v>
      </c>
    </row>
    <row r="57" spans="1:8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2</v>
      </c>
      <c r="G57">
        <f t="shared" si="0"/>
        <v>15.959999999999999</v>
      </c>
      <c r="H57">
        <f t="shared" si="1"/>
        <v>5.8500000000000005</v>
      </c>
    </row>
    <row r="58" spans="1:8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2</v>
      </c>
      <c r="G58">
        <f t="shared" si="0"/>
        <v>20.79</v>
      </c>
      <c r="H58">
        <f t="shared" si="1"/>
        <v>7.5200000000000005</v>
      </c>
    </row>
    <row r="59" spans="1:8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2</v>
      </c>
      <c r="G59">
        <f t="shared" si="0"/>
        <v>11.76</v>
      </c>
      <c r="H59">
        <f t="shared" si="1"/>
        <v>3.3</v>
      </c>
    </row>
    <row r="60" spans="1:8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2</v>
      </c>
      <c r="G60">
        <f t="shared" si="0"/>
        <v>19.139999999999997</v>
      </c>
      <c r="H60">
        <f t="shared" si="1"/>
        <v>5.9799999999999995</v>
      </c>
    </row>
    <row r="61" spans="1:8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2</v>
      </c>
      <c r="G61">
        <f t="shared" si="0"/>
        <v>14.040000000000001</v>
      </c>
      <c r="H61">
        <f t="shared" si="1"/>
        <v>5.46</v>
      </c>
    </row>
    <row r="62" spans="1:8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2</v>
      </c>
      <c r="G62">
        <f t="shared" si="0"/>
        <v>10</v>
      </c>
      <c r="H62">
        <f t="shared" si="1"/>
        <v>3.5</v>
      </c>
    </row>
    <row r="63" spans="1:8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2</v>
      </c>
      <c r="G63">
        <f t="shared" si="0"/>
        <v>17.700000000000003</v>
      </c>
      <c r="H63">
        <f t="shared" si="1"/>
        <v>6.3000000000000007</v>
      </c>
    </row>
    <row r="64" spans="1:8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2</v>
      </c>
      <c r="G64">
        <f t="shared" si="0"/>
        <v>13.200000000000001</v>
      </c>
      <c r="H64">
        <f t="shared" si="1"/>
        <v>4</v>
      </c>
    </row>
    <row r="65" spans="1:8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2</v>
      </c>
      <c r="G65">
        <f t="shared" si="0"/>
        <v>17.689999999999998</v>
      </c>
      <c r="H65">
        <f t="shared" si="1"/>
        <v>6.58</v>
      </c>
    </row>
    <row r="66" spans="1:8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2</v>
      </c>
      <c r="G66">
        <f t="shared" si="0"/>
        <v>16.239999999999998</v>
      </c>
      <c r="H66">
        <f t="shared" si="1"/>
        <v>4.6800000000000006</v>
      </c>
    </row>
    <row r="67" spans="1:8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2</v>
      </c>
      <c r="G67">
        <f t="shared" ref="G67:G130" si="2">B67*C67</f>
        <v>20.77</v>
      </c>
      <c r="H67">
        <f t="shared" ref="H67:H130" si="3">D67*E67</f>
        <v>6.16</v>
      </c>
    </row>
    <row r="68" spans="1:8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2</v>
      </c>
      <c r="G68">
        <f t="shared" si="2"/>
        <v>16.799999999999997</v>
      </c>
      <c r="H68">
        <f t="shared" si="3"/>
        <v>6.75</v>
      </c>
    </row>
    <row r="69" spans="1:8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2</v>
      </c>
      <c r="G69">
        <f t="shared" si="2"/>
        <v>15.66</v>
      </c>
      <c r="H69">
        <f t="shared" si="3"/>
        <v>4.0999999999999996</v>
      </c>
    </row>
    <row r="70" spans="1:8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2</v>
      </c>
      <c r="G70">
        <f t="shared" si="2"/>
        <v>13.640000000000002</v>
      </c>
      <c r="H70">
        <f t="shared" si="3"/>
        <v>6.75</v>
      </c>
    </row>
    <row r="71" spans="1:8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2</v>
      </c>
      <c r="G71">
        <f t="shared" si="2"/>
        <v>14</v>
      </c>
      <c r="H71">
        <f t="shared" si="3"/>
        <v>4.29</v>
      </c>
    </row>
    <row r="72" spans="1:8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2</v>
      </c>
      <c r="G72">
        <f t="shared" si="2"/>
        <v>18.880000000000003</v>
      </c>
      <c r="H72">
        <f t="shared" si="3"/>
        <v>8.64</v>
      </c>
    </row>
    <row r="73" spans="1:8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2</v>
      </c>
      <c r="G73">
        <f t="shared" si="2"/>
        <v>17.079999999999998</v>
      </c>
      <c r="H73">
        <f t="shared" si="3"/>
        <v>5.2</v>
      </c>
    </row>
    <row r="74" spans="1:8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2</v>
      </c>
      <c r="G74">
        <f t="shared" si="2"/>
        <v>15.75</v>
      </c>
      <c r="H74">
        <f t="shared" si="3"/>
        <v>7.3500000000000005</v>
      </c>
    </row>
    <row r="75" spans="1:8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2</v>
      </c>
      <c r="G75">
        <f t="shared" si="2"/>
        <v>17.079999999999998</v>
      </c>
      <c r="H75">
        <f t="shared" si="3"/>
        <v>5.64</v>
      </c>
    </row>
    <row r="76" spans="1:8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2</v>
      </c>
      <c r="G76">
        <f t="shared" si="2"/>
        <v>18.559999999999999</v>
      </c>
      <c r="H76">
        <f t="shared" si="3"/>
        <v>5.59</v>
      </c>
    </row>
    <row r="77" spans="1:8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2</v>
      </c>
      <c r="G77">
        <f t="shared" si="2"/>
        <v>19.799999999999997</v>
      </c>
      <c r="H77">
        <f t="shared" si="3"/>
        <v>6.16</v>
      </c>
    </row>
    <row r="78" spans="1:8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2</v>
      </c>
      <c r="G78">
        <f t="shared" si="2"/>
        <v>19.04</v>
      </c>
      <c r="H78">
        <f t="shared" si="3"/>
        <v>6.72</v>
      </c>
    </row>
    <row r="79" spans="1:8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2</v>
      </c>
      <c r="G79">
        <f t="shared" si="2"/>
        <v>20.100000000000001</v>
      </c>
      <c r="H79">
        <f t="shared" si="3"/>
        <v>8.5</v>
      </c>
    </row>
    <row r="80" spans="1:8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2</v>
      </c>
      <c r="G80">
        <f t="shared" si="2"/>
        <v>17.399999999999999</v>
      </c>
      <c r="H80">
        <f t="shared" si="3"/>
        <v>6.75</v>
      </c>
    </row>
    <row r="81" spans="1:8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2</v>
      </c>
      <c r="G81">
        <f t="shared" si="2"/>
        <v>14.82</v>
      </c>
      <c r="H81">
        <f t="shared" si="3"/>
        <v>3.5</v>
      </c>
    </row>
    <row r="82" spans="1:8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2</v>
      </c>
      <c r="G82">
        <f t="shared" si="2"/>
        <v>13.2</v>
      </c>
      <c r="H82">
        <f t="shared" si="3"/>
        <v>4.18</v>
      </c>
    </row>
    <row r="83" spans="1:8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2</v>
      </c>
      <c r="G83">
        <f t="shared" si="2"/>
        <v>13.2</v>
      </c>
      <c r="H83">
        <f t="shared" si="3"/>
        <v>3.7</v>
      </c>
    </row>
    <row r="84" spans="1:8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2</v>
      </c>
      <c r="G84">
        <f t="shared" si="2"/>
        <v>15.66</v>
      </c>
      <c r="H84">
        <f t="shared" si="3"/>
        <v>4.68</v>
      </c>
    </row>
    <row r="85" spans="1:8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2</v>
      </c>
      <c r="G85">
        <f t="shared" si="2"/>
        <v>16.200000000000003</v>
      </c>
      <c r="H85">
        <f t="shared" si="3"/>
        <v>8.16</v>
      </c>
    </row>
    <row r="86" spans="1:8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2</v>
      </c>
      <c r="G86">
        <f t="shared" si="2"/>
        <v>16.200000000000003</v>
      </c>
      <c r="H86">
        <f t="shared" si="3"/>
        <v>6.75</v>
      </c>
    </row>
    <row r="87" spans="1:8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2</v>
      </c>
      <c r="G87">
        <f t="shared" si="2"/>
        <v>20.399999999999999</v>
      </c>
      <c r="H87">
        <f t="shared" si="3"/>
        <v>7.2</v>
      </c>
    </row>
    <row r="88" spans="1:8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2</v>
      </c>
      <c r="G88">
        <f t="shared" si="2"/>
        <v>20.77</v>
      </c>
      <c r="H88">
        <f t="shared" si="3"/>
        <v>7.0500000000000007</v>
      </c>
    </row>
    <row r="89" spans="1:8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2</v>
      </c>
      <c r="G89">
        <f t="shared" si="2"/>
        <v>14.489999999999998</v>
      </c>
      <c r="H89">
        <f t="shared" si="3"/>
        <v>5.7200000000000006</v>
      </c>
    </row>
    <row r="90" spans="1:8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2</v>
      </c>
      <c r="G90">
        <f t="shared" si="2"/>
        <v>16.799999999999997</v>
      </c>
      <c r="H90">
        <f t="shared" si="3"/>
        <v>5.33</v>
      </c>
    </row>
    <row r="91" spans="1:8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2</v>
      </c>
      <c r="G91">
        <f t="shared" si="2"/>
        <v>13.75</v>
      </c>
      <c r="H91">
        <f t="shared" si="3"/>
        <v>5.2</v>
      </c>
    </row>
    <row r="92" spans="1:8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2</v>
      </c>
      <c r="G92">
        <f t="shared" si="2"/>
        <v>14.3</v>
      </c>
      <c r="H92">
        <f t="shared" si="3"/>
        <v>5.28</v>
      </c>
    </row>
    <row r="93" spans="1:8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2</v>
      </c>
      <c r="G93">
        <f t="shared" si="2"/>
        <v>18.299999999999997</v>
      </c>
      <c r="H93">
        <f t="shared" si="3"/>
        <v>6.4399999999999995</v>
      </c>
    </row>
    <row r="94" spans="1:8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2</v>
      </c>
      <c r="G94">
        <f t="shared" si="2"/>
        <v>15.08</v>
      </c>
      <c r="H94">
        <f t="shared" si="3"/>
        <v>4.8</v>
      </c>
    </row>
    <row r="95" spans="1:8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2</v>
      </c>
      <c r="G95">
        <f t="shared" si="2"/>
        <v>11.5</v>
      </c>
      <c r="H95">
        <f t="shared" si="3"/>
        <v>3.3</v>
      </c>
    </row>
    <row r="96" spans="1:8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2</v>
      </c>
      <c r="G96">
        <f t="shared" si="2"/>
        <v>15.12</v>
      </c>
      <c r="H96">
        <f t="shared" si="3"/>
        <v>5.4600000000000009</v>
      </c>
    </row>
    <row r="97" spans="1:8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2</v>
      </c>
      <c r="G97">
        <f t="shared" si="2"/>
        <v>17.100000000000001</v>
      </c>
      <c r="H97">
        <f t="shared" si="3"/>
        <v>5.04</v>
      </c>
    </row>
    <row r="98" spans="1:8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2</v>
      </c>
      <c r="G98">
        <f t="shared" si="2"/>
        <v>16.53</v>
      </c>
      <c r="H98">
        <f t="shared" si="3"/>
        <v>5.4600000000000009</v>
      </c>
    </row>
    <row r="99" spans="1:8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2</v>
      </c>
      <c r="G99">
        <f t="shared" si="2"/>
        <v>17.98</v>
      </c>
      <c r="H99">
        <f t="shared" si="3"/>
        <v>5.59</v>
      </c>
    </row>
    <row r="100" spans="1:8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2</v>
      </c>
      <c r="G100">
        <f t="shared" si="2"/>
        <v>12.75</v>
      </c>
      <c r="H100">
        <f t="shared" si="3"/>
        <v>3.3000000000000003</v>
      </c>
    </row>
    <row r="101" spans="1:8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2</v>
      </c>
      <c r="G101">
        <f t="shared" si="2"/>
        <v>15.959999999999999</v>
      </c>
      <c r="H101">
        <f t="shared" si="3"/>
        <v>5.33</v>
      </c>
    </row>
    <row r="102" spans="1:8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3</v>
      </c>
      <c r="G102">
        <f t="shared" si="2"/>
        <v>20.79</v>
      </c>
      <c r="H102">
        <f t="shared" si="3"/>
        <v>15</v>
      </c>
    </row>
    <row r="103" spans="1:8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3</v>
      </c>
      <c r="G103">
        <f t="shared" si="2"/>
        <v>15.66</v>
      </c>
      <c r="H103">
        <f t="shared" si="3"/>
        <v>9.69</v>
      </c>
    </row>
    <row r="104" spans="1:8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3</v>
      </c>
      <c r="G104">
        <f t="shared" si="2"/>
        <v>21.299999999999997</v>
      </c>
      <c r="H104">
        <f t="shared" si="3"/>
        <v>12.39</v>
      </c>
    </row>
    <row r="105" spans="1:8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3</v>
      </c>
      <c r="G105">
        <f t="shared" si="2"/>
        <v>18.27</v>
      </c>
      <c r="H105">
        <f t="shared" si="3"/>
        <v>10.08</v>
      </c>
    </row>
    <row r="106" spans="1:8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3</v>
      </c>
      <c r="G106">
        <f t="shared" si="2"/>
        <v>19.5</v>
      </c>
      <c r="H106">
        <f t="shared" si="3"/>
        <v>12.76</v>
      </c>
    </row>
    <row r="107" spans="1:8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3</v>
      </c>
      <c r="G107">
        <f t="shared" si="2"/>
        <v>22.799999999999997</v>
      </c>
      <c r="H107">
        <f t="shared" si="3"/>
        <v>13.86</v>
      </c>
    </row>
    <row r="108" spans="1:8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3</v>
      </c>
      <c r="G108">
        <f t="shared" si="2"/>
        <v>12.25</v>
      </c>
      <c r="H108">
        <f t="shared" si="3"/>
        <v>7.6499999999999995</v>
      </c>
    </row>
    <row r="109" spans="1:8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3</v>
      </c>
      <c r="G109">
        <f t="shared" si="2"/>
        <v>21.169999999999998</v>
      </c>
      <c r="H109">
        <f t="shared" si="3"/>
        <v>11.34</v>
      </c>
    </row>
    <row r="110" spans="1:8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3</v>
      </c>
      <c r="G110">
        <f t="shared" si="2"/>
        <v>16.75</v>
      </c>
      <c r="H110">
        <f t="shared" si="3"/>
        <v>10.44</v>
      </c>
    </row>
    <row r="111" spans="1:8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3</v>
      </c>
      <c r="G111">
        <f t="shared" si="2"/>
        <v>25.92</v>
      </c>
      <c r="H111">
        <f t="shared" si="3"/>
        <v>15.25</v>
      </c>
    </row>
    <row r="112" spans="1:8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3</v>
      </c>
      <c r="G112">
        <f t="shared" si="2"/>
        <v>20.8</v>
      </c>
      <c r="H112">
        <f t="shared" si="3"/>
        <v>10.199999999999999</v>
      </c>
    </row>
    <row r="113" spans="1:8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3</v>
      </c>
      <c r="G113">
        <f t="shared" si="2"/>
        <v>17.28</v>
      </c>
      <c r="H113">
        <f t="shared" si="3"/>
        <v>10.069999999999999</v>
      </c>
    </row>
    <row r="114" spans="1:8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3</v>
      </c>
      <c r="G114">
        <f t="shared" si="2"/>
        <v>20.399999999999999</v>
      </c>
      <c r="H114">
        <f t="shared" si="3"/>
        <v>11.55</v>
      </c>
    </row>
    <row r="115" spans="1:8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3</v>
      </c>
      <c r="G115">
        <f t="shared" si="2"/>
        <v>14.25</v>
      </c>
      <c r="H115">
        <f t="shared" si="3"/>
        <v>10</v>
      </c>
    </row>
    <row r="116" spans="1:8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3</v>
      </c>
      <c r="G116">
        <f t="shared" si="2"/>
        <v>16.239999999999998</v>
      </c>
      <c r="H116">
        <f t="shared" si="3"/>
        <v>12.239999999999998</v>
      </c>
    </row>
    <row r="117" spans="1:8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3</v>
      </c>
      <c r="G117">
        <f t="shared" si="2"/>
        <v>20.480000000000004</v>
      </c>
      <c r="H117">
        <f t="shared" si="3"/>
        <v>12.19</v>
      </c>
    </row>
    <row r="118" spans="1:8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3</v>
      </c>
      <c r="G118">
        <f t="shared" si="2"/>
        <v>19.5</v>
      </c>
      <c r="H118">
        <f t="shared" si="3"/>
        <v>9.9</v>
      </c>
    </row>
    <row r="119" spans="1:8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3</v>
      </c>
      <c r="G119">
        <f t="shared" si="2"/>
        <v>29.259999999999998</v>
      </c>
      <c r="H119">
        <f t="shared" si="3"/>
        <v>14.740000000000002</v>
      </c>
    </row>
    <row r="120" spans="1:8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3</v>
      </c>
      <c r="G120">
        <f t="shared" si="2"/>
        <v>20.02</v>
      </c>
      <c r="H120">
        <f t="shared" si="3"/>
        <v>15.87</v>
      </c>
    </row>
    <row r="121" spans="1:8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3</v>
      </c>
      <c r="G121">
        <f t="shared" si="2"/>
        <v>13.200000000000001</v>
      </c>
      <c r="H121">
        <f t="shared" si="3"/>
        <v>7.5</v>
      </c>
    </row>
    <row r="122" spans="1:8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3</v>
      </c>
      <c r="G122">
        <f t="shared" si="2"/>
        <v>22.080000000000002</v>
      </c>
      <c r="H122">
        <f t="shared" si="3"/>
        <v>13.11</v>
      </c>
    </row>
    <row r="123" spans="1:8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3</v>
      </c>
      <c r="G123">
        <f t="shared" si="2"/>
        <v>15.679999999999998</v>
      </c>
      <c r="H123">
        <f t="shared" si="3"/>
        <v>9.8000000000000007</v>
      </c>
    </row>
    <row r="124" spans="1:8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3</v>
      </c>
      <c r="G124">
        <f t="shared" si="2"/>
        <v>21.56</v>
      </c>
      <c r="H124">
        <f t="shared" si="3"/>
        <v>13.4</v>
      </c>
    </row>
    <row r="125" spans="1:8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3</v>
      </c>
      <c r="G125">
        <f t="shared" si="2"/>
        <v>17.010000000000002</v>
      </c>
      <c r="H125">
        <f t="shared" si="3"/>
        <v>8.82</v>
      </c>
    </row>
    <row r="126" spans="1:8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3</v>
      </c>
      <c r="G126">
        <f t="shared" si="2"/>
        <v>22.11</v>
      </c>
      <c r="H126">
        <f t="shared" si="3"/>
        <v>11.97</v>
      </c>
    </row>
    <row r="127" spans="1:8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3</v>
      </c>
      <c r="G127">
        <f t="shared" si="2"/>
        <v>23.040000000000003</v>
      </c>
      <c r="H127">
        <f t="shared" si="3"/>
        <v>10.8</v>
      </c>
    </row>
    <row r="128" spans="1:8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3</v>
      </c>
      <c r="G128">
        <f t="shared" si="2"/>
        <v>17.36</v>
      </c>
      <c r="H128">
        <f t="shared" si="3"/>
        <v>8.64</v>
      </c>
    </row>
    <row r="129" spans="1:8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3</v>
      </c>
      <c r="G129">
        <f t="shared" si="2"/>
        <v>18.299999999999997</v>
      </c>
      <c r="H129">
        <f t="shared" si="3"/>
        <v>8.82</v>
      </c>
    </row>
    <row r="130" spans="1:8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3</v>
      </c>
      <c r="G130">
        <f t="shared" si="2"/>
        <v>17.919999999999998</v>
      </c>
      <c r="H130">
        <f t="shared" si="3"/>
        <v>11.76</v>
      </c>
    </row>
    <row r="131" spans="1:8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3</v>
      </c>
      <c r="G131">
        <f t="shared" ref="G131:G151" si="4">B131*C131</f>
        <v>21.6</v>
      </c>
      <c r="H131">
        <f t="shared" ref="H131:H151" si="5">D131*E131</f>
        <v>9.2799999999999994</v>
      </c>
    </row>
    <row r="132" spans="1:8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3</v>
      </c>
      <c r="G132">
        <f t="shared" si="4"/>
        <v>20.72</v>
      </c>
      <c r="H132">
        <f t="shared" si="5"/>
        <v>11.589999999999998</v>
      </c>
    </row>
    <row r="133" spans="1:8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3</v>
      </c>
      <c r="G133">
        <f t="shared" si="4"/>
        <v>30.02</v>
      </c>
      <c r="H133">
        <f t="shared" si="5"/>
        <v>12.8</v>
      </c>
    </row>
    <row r="134" spans="1:8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3</v>
      </c>
      <c r="G134">
        <f t="shared" si="4"/>
        <v>17.919999999999998</v>
      </c>
      <c r="H134">
        <f t="shared" si="5"/>
        <v>12.32</v>
      </c>
    </row>
    <row r="135" spans="1:8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3</v>
      </c>
      <c r="G135">
        <f t="shared" si="4"/>
        <v>17.639999999999997</v>
      </c>
      <c r="H135">
        <f t="shared" si="5"/>
        <v>7.6499999999999995</v>
      </c>
    </row>
    <row r="136" spans="1:8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3</v>
      </c>
      <c r="G136">
        <f t="shared" si="4"/>
        <v>15.86</v>
      </c>
      <c r="H136">
        <f t="shared" si="5"/>
        <v>7.839999999999999</v>
      </c>
    </row>
    <row r="137" spans="1:8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3</v>
      </c>
      <c r="G137">
        <f t="shared" si="4"/>
        <v>23.1</v>
      </c>
      <c r="H137">
        <f t="shared" si="5"/>
        <v>14.029999999999998</v>
      </c>
    </row>
    <row r="138" spans="1:8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3</v>
      </c>
      <c r="G138">
        <f t="shared" si="4"/>
        <v>21.419999999999998</v>
      </c>
      <c r="H138">
        <f t="shared" si="5"/>
        <v>13.44</v>
      </c>
    </row>
    <row r="139" spans="1:8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3</v>
      </c>
      <c r="G139">
        <f t="shared" si="4"/>
        <v>19.840000000000003</v>
      </c>
      <c r="H139">
        <f t="shared" si="5"/>
        <v>9.9</v>
      </c>
    </row>
    <row r="140" spans="1:8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3</v>
      </c>
      <c r="G140">
        <f t="shared" si="4"/>
        <v>18</v>
      </c>
      <c r="H140">
        <f t="shared" si="5"/>
        <v>8.64</v>
      </c>
    </row>
    <row r="141" spans="1:8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3</v>
      </c>
      <c r="G141">
        <f t="shared" si="4"/>
        <v>21.39</v>
      </c>
      <c r="H141">
        <f t="shared" si="5"/>
        <v>11.340000000000002</v>
      </c>
    </row>
    <row r="142" spans="1:8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3</v>
      </c>
      <c r="G142">
        <f t="shared" si="4"/>
        <v>20.77</v>
      </c>
      <c r="H142">
        <f t="shared" si="5"/>
        <v>13.44</v>
      </c>
    </row>
    <row r="143" spans="1:8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3</v>
      </c>
      <c r="G143">
        <f t="shared" si="4"/>
        <v>21.39</v>
      </c>
      <c r="H143">
        <f t="shared" si="5"/>
        <v>11.729999999999999</v>
      </c>
    </row>
    <row r="144" spans="1:8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3</v>
      </c>
      <c r="G144">
        <f t="shared" si="4"/>
        <v>15.66</v>
      </c>
      <c r="H144">
        <f t="shared" si="5"/>
        <v>9.69</v>
      </c>
    </row>
    <row r="145" spans="1:8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3</v>
      </c>
      <c r="G145">
        <f t="shared" si="4"/>
        <v>21.76</v>
      </c>
      <c r="H145">
        <f t="shared" si="5"/>
        <v>13.57</v>
      </c>
    </row>
    <row r="146" spans="1:8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3</v>
      </c>
      <c r="G146">
        <f t="shared" si="4"/>
        <v>22.11</v>
      </c>
      <c r="H146">
        <f t="shared" si="5"/>
        <v>14.25</v>
      </c>
    </row>
    <row r="147" spans="1:8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3</v>
      </c>
      <c r="G147">
        <f t="shared" si="4"/>
        <v>20.100000000000001</v>
      </c>
      <c r="H147">
        <f t="shared" si="5"/>
        <v>11.959999999999999</v>
      </c>
    </row>
    <row r="148" spans="1:8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3</v>
      </c>
      <c r="G148">
        <f t="shared" si="4"/>
        <v>15.75</v>
      </c>
      <c r="H148">
        <f t="shared" si="5"/>
        <v>9.5</v>
      </c>
    </row>
    <row r="149" spans="1:8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3</v>
      </c>
      <c r="G149">
        <f t="shared" si="4"/>
        <v>19.5</v>
      </c>
      <c r="H149">
        <f t="shared" si="5"/>
        <v>10.4</v>
      </c>
    </row>
    <row r="150" spans="1:8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3</v>
      </c>
      <c r="G150">
        <f t="shared" si="4"/>
        <v>21.08</v>
      </c>
      <c r="H150">
        <f t="shared" si="5"/>
        <v>12.42</v>
      </c>
    </row>
    <row r="151" spans="1:8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3</v>
      </c>
      <c r="G151">
        <f t="shared" si="4"/>
        <v>17.700000000000003</v>
      </c>
      <c r="H151">
        <f t="shared" si="5"/>
        <v>9.18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7C61-730B-4199-8FFE-DD18C0E9FFDB}">
  <dimension ref="A1:B7"/>
  <sheetViews>
    <sheetView workbookViewId="0">
      <selection activeCell="B3" sqref="B3"/>
    </sheetView>
  </sheetViews>
  <sheetFormatPr defaultRowHeight="14.4" x14ac:dyDescent="0.3"/>
  <cols>
    <col min="1" max="1" width="20.6640625" customWidth="1"/>
    <col min="2" max="2" width="27.44140625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>
        <f>COUNTA('Iris Dataset'!A2:A151)</f>
        <v>150</v>
      </c>
    </row>
    <row r="3" spans="1:2" x14ac:dyDescent="0.3">
      <c r="A3" t="s">
        <v>14</v>
      </c>
      <c r="B3">
        <f>COUNTA(_xlfn.UNIQUE('Iris Dataset'!F2:F151))</f>
        <v>3</v>
      </c>
    </row>
    <row r="4" spans="1:2" x14ac:dyDescent="0.3">
      <c r="A4" t="s">
        <v>15</v>
      </c>
      <c r="B4">
        <f>AVERAGE('Iris Dataset'!B2:B151)</f>
        <v>5.8433333333333346</v>
      </c>
    </row>
    <row r="5" spans="1:2" x14ac:dyDescent="0.3">
      <c r="A5" t="s">
        <v>16</v>
      </c>
      <c r="B5">
        <f>AVERAGE('Iris Dataset'!C2:C151)</f>
        <v>3.0540000000000007</v>
      </c>
    </row>
    <row r="6" spans="1:2" x14ac:dyDescent="0.3">
      <c r="A6" t="s">
        <v>17</v>
      </c>
      <c r="B6">
        <f>AVERAGE('Iris Dataset'!D2:D151)</f>
        <v>3.7586666666666693</v>
      </c>
    </row>
    <row r="7" spans="1:2" x14ac:dyDescent="0.3">
      <c r="A7" t="s">
        <v>18</v>
      </c>
      <c r="B7">
        <f>AVERAGE('Iris Dataset'!E2:E151)</f>
        <v>1.1986666666666672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A02A-2431-4833-8C26-E38C04266E3A}">
  <dimension ref="A1:B1"/>
  <sheetViews>
    <sheetView workbookViewId="0">
      <selection activeCell="J9" sqref="J9"/>
    </sheetView>
  </sheetViews>
  <sheetFormatPr defaultRowHeight="14.4" x14ac:dyDescent="0.3"/>
  <cols>
    <col min="1" max="1" width="8.88671875" customWidth="1"/>
  </cols>
  <sheetData>
    <row r="1" spans="1:2" ht="15" thickBot="1" x14ac:dyDescent="0.35">
      <c r="A1" s="5" t="s">
        <v>22</v>
      </c>
      <c r="B1" s="5"/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5F38-9D84-4B06-B24E-DD621ED95A25}">
  <dimension ref="A3:B7"/>
  <sheetViews>
    <sheetView tabSelected="1" workbookViewId="0">
      <selection activeCell="H4" sqref="H4"/>
    </sheetView>
  </sheetViews>
  <sheetFormatPr defaultRowHeight="14.4" x14ac:dyDescent="0.3"/>
  <cols>
    <col min="1" max="1" width="12.44140625" bestFit="1" customWidth="1"/>
    <col min="2" max="2" width="14.88671875" bestFit="1" customWidth="1"/>
    <col min="3" max="3" width="20" bestFit="1" customWidth="1"/>
  </cols>
  <sheetData>
    <row r="3" spans="1:2" x14ac:dyDescent="0.3">
      <c r="A3" s="2" t="s">
        <v>19</v>
      </c>
      <c r="B3" t="s">
        <v>21</v>
      </c>
    </row>
    <row r="4" spans="1:2" x14ac:dyDescent="0.3">
      <c r="A4" s="3" t="s">
        <v>1</v>
      </c>
      <c r="B4" s="4">
        <v>50</v>
      </c>
    </row>
    <row r="5" spans="1:2" x14ac:dyDescent="0.3">
      <c r="A5" s="3" t="s">
        <v>2</v>
      </c>
      <c r="B5" s="4">
        <v>50</v>
      </c>
    </row>
    <row r="6" spans="1:2" x14ac:dyDescent="0.3">
      <c r="A6" s="3" t="s">
        <v>3</v>
      </c>
      <c r="B6" s="4">
        <v>50</v>
      </c>
    </row>
    <row r="7" spans="1:2" x14ac:dyDescent="0.3">
      <c r="A7" s="3" t="s">
        <v>20</v>
      </c>
      <c r="B7" s="4">
        <v>150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Iris Dataset</vt:lpstr>
      <vt:lpstr>Analysis</vt:lpstr>
      <vt:lpstr>Dashboard</vt:lpstr>
      <vt:lpstr>Pivot_Species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Shilumol</dc:creator>
  <cp:lastModifiedBy>Shilpa Philip</cp:lastModifiedBy>
  <dcterms:created xsi:type="dcterms:W3CDTF">2026-07-19T05:29:05Z</dcterms:created>
  <dcterms:modified xsi:type="dcterms:W3CDTF">2026-07-19T08:31:45Z</dcterms:modified>
</cp:coreProperties>
</file>